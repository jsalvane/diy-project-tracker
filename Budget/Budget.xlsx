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https://awchesterton-my.sharepoint.com/personal/joe_salvaneschi_chesterton_com/Documents/Documents/Personal/"/>
    </mc:Choice>
  </mc:AlternateContent>
  <xr:revisionPtr revIDLastSave="6848" documentId="14_{9871E76E-29AA-4575-8282-EA1544136502}" xr6:coauthVersionLast="47" xr6:coauthVersionMax="47" xr10:uidLastSave="{88F838DC-3DAF-C44B-A58B-2E7F72F22DFA}"/>
  <bookViews>
    <workbookView xWindow="0" yWindow="600" windowWidth="28160" windowHeight="15220" tabRatio="500" xr2:uid="{00000000-000D-0000-FFFF-FFFF00000000}"/>
  </bookViews>
  <sheets>
    <sheet name="Budget" sheetId="2" r:id="rId1"/>
    <sheet name="Loans" sheetId="7" r:id="rId2"/>
    <sheet name="Credit Cards" sheetId="3" r:id="rId3"/>
  </sheets>
  <definedNames>
    <definedName name="_xlnm._FilterDatabase" localSheetId="0" hidden="1">Budget!$J$2:$L$10</definedName>
    <definedName name="_xlnm._FilterDatabase" localSheetId="1" hidden="1">Loans!#REF!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8" i="2" l="1"/>
  <c r="K11" i="2" s="1"/>
  <c r="G5" i="2"/>
  <c r="G6" i="2"/>
  <c r="G10" i="2"/>
  <c r="G11" i="2"/>
  <c r="C6" i="7"/>
  <c r="D20" i="3"/>
  <c r="J14" i="7"/>
  <c r="G7" i="2"/>
  <c r="K10" i="2"/>
  <c r="K9" i="2"/>
  <c r="F8" i="2"/>
  <c r="F7" i="2"/>
  <c r="F11" i="2"/>
  <c r="N2" i="3"/>
  <c r="F9" i="2"/>
  <c r="F10" i="2"/>
  <c r="E20" i="3"/>
  <c r="G9" i="2"/>
  <c r="G8" i="2" l="1"/>
  <c r="C14" i="2"/>
  <c r="G12" i="2"/>
  <c r="H10" i="3"/>
  <c r="I10" i="3" s="1"/>
  <c r="H5" i="3"/>
  <c r="I5" i="3" s="1"/>
  <c r="H16" i="3"/>
  <c r="I16" i="3" s="1"/>
  <c r="J9" i="3"/>
  <c r="J10" i="3"/>
  <c r="H6" i="3"/>
  <c r="I6" i="3" s="1"/>
  <c r="H8" i="3"/>
  <c r="I8" i="3" s="1"/>
  <c r="H13" i="3"/>
  <c r="I13" i="3" s="1"/>
  <c r="H4" i="3"/>
  <c r="I4" i="3" s="1"/>
  <c r="J5" i="3"/>
  <c r="H3" i="3"/>
  <c r="I3" i="3" s="1"/>
  <c r="J6" i="3"/>
  <c r="J13" i="3"/>
  <c r="H18" i="3"/>
  <c r="I18" i="3" s="1"/>
  <c r="H7" i="3"/>
  <c r="I7" i="3" s="1"/>
  <c r="H19" i="3"/>
  <c r="I19" i="3" s="1"/>
  <c r="J3" i="3"/>
  <c r="J7" i="3"/>
  <c r="J12" i="3"/>
  <c r="H17" i="3"/>
  <c r="I17" i="3" s="1"/>
  <c r="H9" i="3"/>
  <c r="I9" i="3" s="1"/>
  <c r="H14" i="3"/>
  <c r="I14" i="3" s="1"/>
  <c r="H11" i="3"/>
  <c r="I11" i="3" s="1"/>
  <c r="H15" i="3"/>
  <c r="I15" i="3" s="1"/>
  <c r="J4" i="3"/>
  <c r="J11" i="3"/>
  <c r="J8" i="3"/>
  <c r="H12" i="3"/>
  <c r="I12" i="3" s="1"/>
  <c r="J20" i="3" l="1"/>
  <c r="N3" i="3"/>
</calcChain>
</file>

<file path=xl/sharedStrings.xml><?xml version="1.0" encoding="utf-8"?>
<sst xmlns="http://schemas.openxmlformats.org/spreadsheetml/2006/main" count="89" uniqueCount="64">
  <si>
    <t>Credit Cards</t>
  </si>
  <si>
    <t>Discover</t>
  </si>
  <si>
    <t>Student Loan</t>
  </si>
  <si>
    <t>Payment</t>
  </si>
  <si>
    <t>Amazon</t>
  </si>
  <si>
    <t>30th</t>
  </si>
  <si>
    <t>Apple Card</t>
  </si>
  <si>
    <t>Apple</t>
  </si>
  <si>
    <t>AMEX Green</t>
  </si>
  <si>
    <t>Limit</t>
  </si>
  <si>
    <t>AOA</t>
  </si>
  <si>
    <t>Open Date</t>
  </si>
  <si>
    <t>Hilton Aspire</t>
  </si>
  <si>
    <t>Freedom Unlimited</t>
  </si>
  <si>
    <t>Annual Fee</t>
  </si>
  <si>
    <t>AUTO</t>
  </si>
  <si>
    <t>Ink</t>
  </si>
  <si>
    <t>Freedom Flex</t>
  </si>
  <si>
    <t>CLOSED 11/11/20</t>
  </si>
  <si>
    <t>AMEX Gold</t>
  </si>
  <si>
    <t>Loan</t>
  </si>
  <si>
    <t>Electric</t>
  </si>
  <si>
    <t>Mortgage</t>
  </si>
  <si>
    <t>CLOSED 1/3/22</t>
  </si>
  <si>
    <t>GM Card</t>
  </si>
  <si>
    <t>Hilton</t>
  </si>
  <si>
    <t>Chase Amazon</t>
  </si>
  <si>
    <t>CLOSED 7/20/22</t>
  </si>
  <si>
    <t>Status</t>
  </si>
  <si>
    <t>AMEX</t>
  </si>
  <si>
    <t>Servicer</t>
  </si>
  <si>
    <t>APPLE</t>
  </si>
  <si>
    <t>CHASE</t>
  </si>
  <si>
    <t>DISCOVER</t>
  </si>
  <si>
    <t>Everyday</t>
  </si>
  <si>
    <t>Maine</t>
  </si>
  <si>
    <t>Age</t>
  </si>
  <si>
    <t>Count</t>
  </si>
  <si>
    <t>5/24 Status</t>
  </si>
  <si>
    <t>15th</t>
  </si>
  <si>
    <t>Bill</t>
  </si>
  <si>
    <t>CLOSED 9/17/24</t>
  </si>
  <si>
    <t>Custom Cash</t>
  </si>
  <si>
    <t>CITI</t>
  </si>
  <si>
    <t>Citi Custom</t>
  </si>
  <si>
    <t>Citi</t>
  </si>
  <si>
    <t>Freedom Visa</t>
  </si>
  <si>
    <t>Notes</t>
  </si>
  <si>
    <t>Sapphire</t>
  </si>
  <si>
    <t>Chase Sapphire Preferred</t>
  </si>
  <si>
    <t>PC CSR 11/25 CLOSED 4/25</t>
  </si>
  <si>
    <t>Payments</t>
  </si>
  <si>
    <t>Platinum</t>
  </si>
  <si>
    <t>Hilton Base</t>
  </si>
  <si>
    <t>AF: 5/1</t>
  </si>
  <si>
    <t>AF: 10/1</t>
  </si>
  <si>
    <t>Balance EOY</t>
  </si>
  <si>
    <t>CLOSED 2/16/26</t>
  </si>
  <si>
    <t>Balance</t>
  </si>
  <si>
    <t>Interest Rate</t>
  </si>
  <si>
    <t>Krysten - SL 1</t>
  </si>
  <si>
    <t xml:space="preserve">Krysten - SL 2 </t>
  </si>
  <si>
    <t>Joe - SL 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</si>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</sst>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sz val="12"/>
      <color rgb="FFD198F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5999938962981048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2" applyNumberFormat="1" applyFont="1" applyBorder="1" applyAlignment="1">
      <alignment horizontal="center" vertical="center"/>
    </xf>
    <xf numFmtId="44" fontId="0" fillId="0" borderId="0" xfId="2" applyFont="1"/>
    <xf numFmtId="44" fontId="0" fillId="0" borderId="0" xfId="2" applyFont="1" applyBorder="1" applyAlignment="1">
      <alignment horizontal="center" vertical="center"/>
    </xf>
    <xf numFmtId="44" fontId="0" fillId="0" borderId="0" xfId="2" applyFont="1" applyFill="1" applyBorder="1" applyAlignment="1">
      <alignment horizontal="center" vertical="center"/>
    </xf>
    <xf numFmtId="164" fontId="0" fillId="0" borderId="0" xfId="2" applyNumberFormat="1" applyFont="1"/>
    <xf numFmtId="164" fontId="0" fillId="0" borderId="0" xfId="2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44" fontId="0" fillId="0" borderId="0" xfId="0" applyNumberFormat="1"/>
    <xf numFmtId="44" fontId="0" fillId="3" borderId="0" xfId="2" applyFont="1" applyFill="1" applyBorder="1" applyAlignment="1">
      <alignment horizontal="center" vertical="center"/>
    </xf>
    <xf numFmtId="164" fontId="0" fillId="3" borderId="0" xfId="2" applyNumberFormat="1" applyFont="1" applyFill="1" applyBorder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" fontId="0" fillId="0" borderId="0" xfId="0" applyNumberFormat="1"/>
    <xf numFmtId="0" fontId="0" fillId="3" borderId="0" xfId="0" applyFill="1" applyAlignment="1">
      <alignment horizontal="center" vertical="center"/>
    </xf>
    <xf numFmtId="1" fontId="0" fillId="3" borderId="0" xfId="2" applyNumberFormat="1" applyFont="1" applyFill="1" applyBorder="1" applyAlignment="1">
      <alignment horizontal="center" vertical="center"/>
    </xf>
    <xf numFmtId="1" fontId="0" fillId="0" borderId="0" xfId="2" applyNumberFormat="1" applyFont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0" xfId="0" applyFont="1"/>
    <xf numFmtId="164" fontId="0" fillId="5" borderId="5" xfId="2" applyNumberFormat="1" applyFont="1" applyFill="1" applyBorder="1" applyAlignment="1">
      <alignment horizontal="center" vertical="center"/>
    </xf>
    <xf numFmtId="164" fontId="0" fillId="5" borderId="6" xfId="2" applyNumberFormat="1" applyFont="1" applyFill="1" applyBorder="1" applyAlignment="1">
      <alignment horizontal="center" vertical="center"/>
    </xf>
    <xf numFmtId="164" fontId="0" fillId="5" borderId="7" xfId="2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8" fillId="7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0" fillId="5" borderId="6" xfId="2" applyNumberFormat="1" applyFont="1" applyFill="1" applyBorder="1" applyAlignment="1">
      <alignment vertical="center"/>
    </xf>
    <xf numFmtId="164" fontId="0" fillId="5" borderId="7" xfId="2" applyNumberFormat="1" applyFont="1" applyFill="1" applyBorder="1" applyAlignment="1">
      <alignment vertical="center"/>
    </xf>
    <xf numFmtId="164" fontId="0" fillId="5" borderId="6" xfId="2" applyNumberFormat="1" applyFont="1" applyFill="1" applyBorder="1" applyAlignment="1">
      <alignment horizontal="left" vertical="top"/>
    </xf>
    <xf numFmtId="164" fontId="0" fillId="5" borderId="7" xfId="2" applyNumberFormat="1" applyFont="1" applyFill="1" applyBorder="1" applyAlignment="1">
      <alignment horizontal="left" vertical="top"/>
    </xf>
    <xf numFmtId="1" fontId="0" fillId="3" borderId="0" xfId="2" applyNumberFormat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164" fontId="0" fillId="0" borderId="9" xfId="2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164" fontId="5" fillId="8" borderId="11" xfId="0" applyNumberFormat="1" applyFont="1" applyFill="1" applyBorder="1"/>
    <xf numFmtId="17" fontId="0" fillId="0" borderId="0" xfId="0" applyNumberFormat="1"/>
    <xf numFmtId="0" fontId="5" fillId="9" borderId="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4" fontId="5" fillId="8" borderId="7" xfId="0" applyNumberFormat="1" applyFont="1" applyFill="1" applyBorder="1"/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0" fontId="0" fillId="0" borderId="0" xfId="1" applyNumberFormat="1" applyFont="1"/>
    <xf numFmtId="164" fontId="6" fillId="8" borderId="2" xfId="2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</cellXfs>
  <cellStyles count="4">
    <cellStyle name="Currency" xfId="2" builtinId="4"/>
    <cellStyle name="Normal" xfId="0" builtinId="0"/>
    <cellStyle name="Normal 2" xfId="3" xr:uid="{3AD7A470-3573-4AB6-9CAB-ED630B13B784}"/>
    <cellStyle name="Percent" xfId="1" builtinId="5"/>
  </cellStyles>
  <dxfs count="20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7"/>
  <colors>
    <mruColors>
      <color rgb="FFD198F0"/>
      <color rgb="FF4FB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E548E-23D7-4F39-8275-8C1688776700}" name="Table1" displayName="Table1" ref="B2:J20" totalsRowCount="1" headerRowDxfId="19" headerRowBorderDxfId="18" tableBorderDxfId="17">
  <autoFilter ref="B2:J19" xr:uid="{D15E548E-23D7-4F39-8275-8C1688776700}"/>
  <sortState xmlns:xlrd2="http://schemas.microsoft.com/office/spreadsheetml/2017/richdata2" ref="B3:J19">
    <sortCondition descending="1" ref="D2:D19"/>
  </sortState>
  <tableColumns count="9">
    <tableColumn id="1" xr3:uid="{B7CA57CD-7847-4738-B18B-1A3E8DC65279}" name="Credit Cards" dataDxfId="16" totalsRowDxfId="15"/>
    <tableColumn id="7" xr3:uid="{B04C4BDE-94BB-4AA6-8057-6DE1BA3ED339}" name="Servicer" dataDxfId="14" totalsRowDxfId="13"/>
    <tableColumn id="2" xr3:uid="{F9B2777C-872C-4A12-9AF3-AC995176FBC9}" name="Limit" totalsRowFunction="sum" dataDxfId="12" totalsRowDxfId="11" dataCellStyle="Currency" totalsRowCellStyle="Currency"/>
    <tableColumn id="3" xr3:uid="{72B707D7-E3A4-4E34-B191-0BE401A8D9F2}" name="Annual Fee" totalsRowFunction="sum" dataDxfId="10" totalsRowDxfId="9" dataCellStyle="Currency" totalsRowCellStyle="Currency"/>
    <tableColumn id="4" xr3:uid="{A7738948-9930-444C-BEAD-1B76ADDD19A8}" name="Notes"/>
    <tableColumn id="5" xr3:uid="{EA6478B6-AF3F-4289-8BB8-2DE41A9964B9}" name="Open Date" dataDxfId="8" totalsRowDxfId="7"/>
    <tableColumn id="8" xr3:uid="{423AB095-854C-413C-9C0C-347A33A4D29F}" name="Age" dataDxfId="6" totalsRowDxfId="5">
      <calculatedColumnFormula>DATEDIF(G3,$N$2,"m")</calculatedColumnFormula>
    </tableColumn>
    <tableColumn id="9" xr3:uid="{4145A23A-BF52-4C77-95BE-B63927846759}" name="Count" dataDxfId="4" totalsRowDxfId="3" dataCellStyle="Currency">
      <calculatedColumnFormula>IF(Table1[[#This Row],[Age]]&gt;24,0,1)</calculatedColumnFormula>
    </tableColumn>
    <tableColumn id="6" xr3:uid="{6C4E7C99-B5B6-4274-89CD-A58E4204A54B}" name="AOA" totalsRowFunction="average" dataDxfId="2" totalsRowDxfId="1" dataCellStyle="Currency" totalsRowCellStyle="Currency">
      <calculatedColumnFormula>DATEDIF(G3,$N$2,"m")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7">
    <wetp:webextensionref xmlns:r="http://schemas.openxmlformats.org/officeDocument/2006/relationships" r:id="rId1"/>
  </wetp:taskpane>
  <wetp:taskpane dockstate="right" visibility="0" width="10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4C869E-322F-4A47-B72D-28528ED62150}">
  <we:reference id="wa200006575" version="1.0.0.3" store="en-US" storeType="OMEX"/>
  <we:alternateReferences>
    <we:reference id="WA200006575" version="1.0.0.3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26D70E7-DC58-408D-BE7D-BCC85E8D76E5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35D2-4F76-4E52-AF98-59348FCE8090}">
  <dimension ref="B1:Q21"/>
  <sheetViews>
    <sheetView showGridLines="0" tabSelected="1" zoomScale="136" zoomScaleNormal="100" workbookViewId="0">
      <selection activeCell="M8" sqref="M8"/>
    </sheetView>
  </sheetViews>
  <sheetFormatPr baseColWidth="10" defaultColWidth="8.83203125" defaultRowHeight="16" x14ac:dyDescent="0.2"/>
  <cols>
    <col min="1" max="1" width="0.6640625" customWidth="1"/>
    <col min="2" max="2" width="16.33203125" bestFit="1" customWidth="1"/>
    <col min="3" max="3" width="11.5" bestFit="1" customWidth="1"/>
    <col min="4" max="5" width="0.1640625" customWidth="1"/>
    <col min="6" max="6" width="16.33203125" bestFit="1" customWidth="1"/>
    <col min="7" max="8" width="8.83203125" customWidth="1"/>
    <col min="9" max="9" width="0.33203125" customWidth="1"/>
    <col min="10" max="10" width="11.1640625" bestFit="1" customWidth="1"/>
    <col min="11" max="12" width="8.83203125" customWidth="1"/>
    <col min="15" max="15" width="8" style="7" bestFit="1" customWidth="1"/>
    <col min="16" max="16" width="11" style="1" bestFit="1" customWidth="1"/>
    <col min="17" max="17" width="8.6640625" bestFit="1" customWidth="1"/>
  </cols>
  <sheetData>
    <row r="1" spans="2:17" ht="6.25" customHeight="1" thickBot="1" x14ac:dyDescent="0.25"/>
    <row r="2" spans="2:17" ht="17" thickBot="1" x14ac:dyDescent="0.25">
      <c r="B2" s="69" t="s">
        <v>0</v>
      </c>
      <c r="C2" s="70"/>
      <c r="D2" s="32"/>
      <c r="E2" s="32"/>
      <c r="F2" s="71" t="s">
        <v>39</v>
      </c>
      <c r="G2" s="71"/>
      <c r="H2" s="72"/>
      <c r="I2" s="32"/>
      <c r="J2" s="73" t="s">
        <v>5</v>
      </c>
      <c r="K2" s="73"/>
      <c r="L2" s="74"/>
    </row>
    <row r="3" spans="2:17" ht="17" thickBot="1" x14ac:dyDescent="0.25">
      <c r="B3" s="39" t="s">
        <v>48</v>
      </c>
      <c r="C3" s="47">
        <v>0</v>
      </c>
      <c r="F3" s="58" t="s">
        <v>40</v>
      </c>
      <c r="G3" s="59" t="s">
        <v>3</v>
      </c>
      <c r="H3" s="55" t="s">
        <v>28</v>
      </c>
      <c r="J3" s="64" t="s">
        <v>40</v>
      </c>
      <c r="K3" s="65" t="s">
        <v>3</v>
      </c>
      <c r="L3" s="66" t="s">
        <v>28</v>
      </c>
      <c r="O3"/>
      <c r="P3"/>
    </row>
    <row r="4" spans="2:17" x14ac:dyDescent="0.2">
      <c r="B4" s="39" t="s">
        <v>4</v>
      </c>
      <c r="C4" s="47">
        <v>132</v>
      </c>
      <c r="F4" s="28" t="s">
        <v>2</v>
      </c>
      <c r="G4" s="45">
        <v>120</v>
      </c>
      <c r="H4" s="36" t="s">
        <v>15</v>
      </c>
      <c r="J4" s="62" t="s">
        <v>7</v>
      </c>
      <c r="K4" s="33">
        <v>0</v>
      </c>
      <c r="L4" s="63"/>
      <c r="O4"/>
      <c r="P4"/>
    </row>
    <row r="5" spans="2:17" x14ac:dyDescent="0.2">
      <c r="B5" s="38" t="s">
        <v>17</v>
      </c>
      <c r="C5" s="47">
        <v>87</v>
      </c>
      <c r="F5" s="28" t="s">
        <v>45</v>
      </c>
      <c r="G5" s="45">
        <f>C12</f>
        <v>508</v>
      </c>
      <c r="H5" s="36"/>
      <c r="J5" s="28" t="s">
        <v>35</v>
      </c>
      <c r="K5" s="34">
        <v>100</v>
      </c>
      <c r="L5" s="30" t="s">
        <v>15</v>
      </c>
      <c r="O5"/>
      <c r="P5"/>
    </row>
    <row r="6" spans="2:17" x14ac:dyDescent="0.2">
      <c r="B6" s="39" t="s">
        <v>13</v>
      </c>
      <c r="C6" s="47">
        <v>29</v>
      </c>
      <c r="F6" s="28" t="s">
        <v>52</v>
      </c>
      <c r="G6" s="45">
        <f>C8</f>
        <v>225</v>
      </c>
      <c r="H6" s="36"/>
      <c r="J6" s="28" t="s">
        <v>22</v>
      </c>
      <c r="K6" s="34">
        <v>1835.15</v>
      </c>
      <c r="L6" s="30" t="s">
        <v>15</v>
      </c>
      <c r="O6"/>
      <c r="P6" s="2"/>
      <c r="Q6" s="2"/>
    </row>
    <row r="7" spans="2:17" x14ac:dyDescent="0.2">
      <c r="B7" s="39" t="s">
        <v>16</v>
      </c>
      <c r="C7" s="47">
        <v>0</v>
      </c>
      <c r="F7" s="28" t="str">
        <f t="shared" ref="F7:F10" si="0">B3</f>
        <v>Sapphire</v>
      </c>
      <c r="G7" s="45">
        <f t="shared" ref="G7:G10" si="1">C3</f>
        <v>0</v>
      </c>
      <c r="H7" s="36"/>
      <c r="J7" s="28" t="s">
        <v>21</v>
      </c>
      <c r="K7" s="34">
        <v>175</v>
      </c>
      <c r="L7" s="30" t="s">
        <v>15</v>
      </c>
      <c r="O7"/>
      <c r="P7"/>
    </row>
    <row r="8" spans="2:17" x14ac:dyDescent="0.2">
      <c r="B8" s="40" t="s">
        <v>52</v>
      </c>
      <c r="C8" s="47">
        <v>225</v>
      </c>
      <c r="F8" s="28" t="str">
        <f t="shared" si="0"/>
        <v>Amazon</v>
      </c>
      <c r="G8" s="45">
        <f>C4</f>
        <v>132</v>
      </c>
      <c r="H8" s="36"/>
      <c r="J8" s="28" t="s">
        <v>1</v>
      </c>
      <c r="K8" s="34">
        <f>C13</f>
        <v>87</v>
      </c>
      <c r="L8" s="30"/>
      <c r="O8"/>
      <c r="P8"/>
    </row>
    <row r="9" spans="2:17" x14ac:dyDescent="0.2">
      <c r="B9" s="41" t="s">
        <v>34</v>
      </c>
      <c r="C9" s="47">
        <v>0</v>
      </c>
      <c r="F9" s="28" t="str">
        <f t="shared" si="0"/>
        <v>Freedom Flex</v>
      </c>
      <c r="G9" s="45">
        <f>C5</f>
        <v>87</v>
      </c>
      <c r="H9" s="36"/>
      <c r="J9" s="28" t="s">
        <v>34</v>
      </c>
      <c r="K9" s="34">
        <f>C9</f>
        <v>0</v>
      </c>
      <c r="L9" s="30"/>
      <c r="O9"/>
      <c r="P9"/>
    </row>
    <row r="10" spans="2:17" ht="17" thickBot="1" x14ac:dyDescent="0.25">
      <c r="B10" s="40" t="s">
        <v>53</v>
      </c>
      <c r="C10" s="47">
        <v>0</v>
      </c>
      <c r="D10" s="3"/>
      <c r="F10" s="28" t="str">
        <f t="shared" si="0"/>
        <v>Freedom Unlimited</v>
      </c>
      <c r="G10" s="45">
        <f t="shared" si="1"/>
        <v>29</v>
      </c>
      <c r="H10" s="36"/>
      <c r="J10" s="29" t="s">
        <v>25</v>
      </c>
      <c r="K10" s="35">
        <f>C10</f>
        <v>0</v>
      </c>
      <c r="L10" s="31"/>
      <c r="O10"/>
      <c r="P10"/>
    </row>
    <row r="11" spans="2:17" ht="17" thickBot="1" x14ac:dyDescent="0.25">
      <c r="B11" s="44" t="s">
        <v>7</v>
      </c>
      <c r="C11" s="47">
        <v>33</v>
      </c>
      <c r="D11" s="3"/>
      <c r="F11" s="29" t="str">
        <f>B7</f>
        <v>Ink</v>
      </c>
      <c r="G11" s="46">
        <f>C7</f>
        <v>0</v>
      </c>
      <c r="H11" s="37"/>
      <c r="K11" s="61">
        <f>SUM(K4:K10)-1400-3593</f>
        <v>-2795.85</v>
      </c>
      <c r="O11"/>
      <c r="P11"/>
    </row>
    <row r="12" spans="2:17" ht="17" thickBot="1" x14ac:dyDescent="0.25">
      <c r="B12" s="43" t="s">
        <v>44</v>
      </c>
      <c r="C12" s="47">
        <v>508</v>
      </c>
      <c r="G12" s="56">
        <f>SUM(G4:G11)-3593</f>
        <v>-2492</v>
      </c>
      <c r="O12"/>
      <c r="P12"/>
    </row>
    <row r="13" spans="2:17" ht="17" thickBot="1" x14ac:dyDescent="0.25">
      <c r="B13" s="42" t="s">
        <v>1</v>
      </c>
      <c r="C13" s="48">
        <v>87</v>
      </c>
      <c r="F13" s="1"/>
      <c r="G13" s="2"/>
      <c r="O13"/>
      <c r="P13"/>
    </row>
    <row r="14" spans="2:17" ht="17" thickBot="1" x14ac:dyDescent="0.25">
      <c r="B14" s="54" t="s">
        <v>63</v>
      </c>
      <c r="C14" s="68">
        <f>SUM(C3:C13)</f>
        <v>1101</v>
      </c>
      <c r="F14" s="1"/>
      <c r="O14"/>
      <c r="P14"/>
    </row>
    <row r="15" spans="2:17" x14ac:dyDescent="0.2">
      <c r="O15"/>
      <c r="P15"/>
    </row>
    <row r="16" spans="2:17" x14ac:dyDescent="0.2">
      <c r="P16"/>
    </row>
    <row r="17" spans="16:16" x14ac:dyDescent="0.2">
      <c r="P17"/>
    </row>
    <row r="18" spans="16:16" x14ac:dyDescent="0.2">
      <c r="P18"/>
    </row>
    <row r="19" spans="16:16" x14ac:dyDescent="0.2">
      <c r="P19"/>
    </row>
    <row r="20" spans="16:16" x14ac:dyDescent="0.2">
      <c r="P20"/>
    </row>
    <row r="21" spans="16:16" x14ac:dyDescent="0.2">
      <c r="P21"/>
    </row>
  </sheetData>
  <mergeCells count="3">
    <mergeCell ref="B2:C2"/>
    <mergeCell ref="F2:H2"/>
    <mergeCell ref="J2:L2"/>
  </mergeCells>
  <phoneticPr fontId="4" alignment="center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E90B-FA42-4090-B192-98381A5CB765}">
  <dimension ref="B2:J26"/>
  <sheetViews>
    <sheetView workbookViewId="0">
      <selection activeCell="D12" sqref="D12"/>
    </sheetView>
  </sheetViews>
  <sheetFormatPr baseColWidth="10" defaultColWidth="8.83203125" defaultRowHeight="16" x14ac:dyDescent="0.2"/>
  <cols>
    <col min="2" max="2" width="15.5" bestFit="1" customWidth="1"/>
    <col min="3" max="3" width="14.33203125" bestFit="1" customWidth="1"/>
    <col min="4" max="4" width="14" bestFit="1" customWidth="1"/>
    <col min="5" max="5" width="9.1640625" bestFit="1" customWidth="1"/>
    <col min="6" max="6" width="13.33203125" customWidth="1"/>
    <col min="7" max="7" width="11.1640625" bestFit="1" customWidth="1"/>
  </cols>
  <sheetData>
    <row r="2" spans="2:10" x14ac:dyDescent="0.2">
      <c r="B2" t="s">
        <v>20</v>
      </c>
      <c r="C2" t="s">
        <v>58</v>
      </c>
      <c r="D2" t="s">
        <v>59</v>
      </c>
    </row>
    <row r="3" spans="2:10" x14ac:dyDescent="0.2">
      <c r="B3" t="s">
        <v>62</v>
      </c>
      <c r="C3" s="4">
        <v>13700</v>
      </c>
      <c r="D3" s="67">
        <v>4.3999999999999997E-2</v>
      </c>
    </row>
    <row r="4" spans="2:10" x14ac:dyDescent="0.2">
      <c r="B4" t="s">
        <v>60</v>
      </c>
      <c r="C4" s="4">
        <v>12550</v>
      </c>
      <c r="D4" s="67">
        <v>5.1249999999999997E-2</v>
      </c>
    </row>
    <row r="5" spans="2:10" x14ac:dyDescent="0.2">
      <c r="B5" t="s">
        <v>61</v>
      </c>
      <c r="C5" s="4">
        <v>50800</v>
      </c>
      <c r="D5" s="67">
        <v>5.1249999999999997E-2</v>
      </c>
      <c r="G5" s="11">
        <v>46092</v>
      </c>
    </row>
    <row r="6" spans="2:10" x14ac:dyDescent="0.2">
      <c r="C6" s="4">
        <f>SUM(C3:C5)</f>
        <v>77050</v>
      </c>
    </row>
    <row r="8" spans="2:10" x14ac:dyDescent="0.2">
      <c r="C8" s="13"/>
    </row>
    <row r="12" spans="2:10" x14ac:dyDescent="0.2">
      <c r="C12" s="7"/>
      <c r="D12" s="7"/>
    </row>
    <row r="13" spans="2:10" x14ac:dyDescent="0.2">
      <c r="C13" s="7"/>
      <c r="D13" s="7"/>
      <c r="E13" t="s">
        <v>51</v>
      </c>
      <c r="F13" t="s">
        <v>56</v>
      </c>
    </row>
    <row r="14" spans="2:10" x14ac:dyDescent="0.2">
      <c r="C14" s="7"/>
      <c r="D14" s="7"/>
      <c r="E14" s="12">
        <v>2025</v>
      </c>
      <c r="F14" s="4">
        <v>66919</v>
      </c>
      <c r="G14" s="4">
        <v>4000</v>
      </c>
      <c r="J14" s="2">
        <f>SUM(G14:G27)</f>
        <v>7600</v>
      </c>
    </row>
    <row r="15" spans="2:10" x14ac:dyDescent="0.2">
      <c r="E15" s="57">
        <v>46048</v>
      </c>
      <c r="F15" s="57"/>
      <c r="G15" s="4">
        <v>1200</v>
      </c>
    </row>
    <row r="16" spans="2:10" x14ac:dyDescent="0.2">
      <c r="E16" s="57">
        <v>46079</v>
      </c>
      <c r="F16" s="57"/>
      <c r="G16" s="4">
        <v>1200</v>
      </c>
    </row>
    <row r="17" spans="5:7" x14ac:dyDescent="0.2">
      <c r="E17" s="57">
        <v>46107</v>
      </c>
      <c r="F17" s="57"/>
      <c r="G17" s="4">
        <v>1200</v>
      </c>
    </row>
    <row r="18" spans="5:7" x14ac:dyDescent="0.2">
      <c r="E18" s="57">
        <v>46138</v>
      </c>
      <c r="F18" s="57"/>
      <c r="G18" s="4"/>
    </row>
    <row r="19" spans="5:7" x14ac:dyDescent="0.2">
      <c r="E19" s="57">
        <v>46168</v>
      </c>
      <c r="F19" s="57"/>
      <c r="G19" s="4"/>
    </row>
    <row r="20" spans="5:7" x14ac:dyDescent="0.2">
      <c r="E20" s="57">
        <v>46199</v>
      </c>
      <c r="F20" s="57"/>
      <c r="G20" s="4"/>
    </row>
    <row r="21" spans="5:7" x14ac:dyDescent="0.2">
      <c r="E21" s="57">
        <v>46229</v>
      </c>
    </row>
    <row r="22" spans="5:7" x14ac:dyDescent="0.2">
      <c r="E22" s="57">
        <v>46260</v>
      </c>
    </row>
    <row r="23" spans="5:7" x14ac:dyDescent="0.2">
      <c r="E23" s="57">
        <v>46291</v>
      </c>
    </row>
    <row r="24" spans="5:7" x14ac:dyDescent="0.2">
      <c r="E24" s="57">
        <v>46321</v>
      </c>
    </row>
    <row r="25" spans="5:7" x14ac:dyDescent="0.2">
      <c r="E25" s="57">
        <v>46352</v>
      </c>
    </row>
    <row r="26" spans="5:7" x14ac:dyDescent="0.2">
      <c r="E26" s="57">
        <v>46382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7FF2-2DA2-447B-A256-31E4719AEA82}">
  <dimension ref="B2:N20"/>
  <sheetViews>
    <sheetView workbookViewId="0">
      <selection activeCell="C8" sqref="C8"/>
    </sheetView>
  </sheetViews>
  <sheetFormatPr baseColWidth="10" defaultColWidth="8.83203125" defaultRowHeight="16" x14ac:dyDescent="0.2"/>
  <cols>
    <col min="2" max="2" width="22.5" bestFit="1" customWidth="1"/>
    <col min="3" max="3" width="16.5" customWidth="1"/>
    <col min="4" max="4" width="12.83203125" customWidth="1"/>
    <col min="5" max="5" width="16" style="7" bestFit="1" customWidth="1"/>
    <col min="6" max="6" width="23.83203125" customWidth="1"/>
    <col min="7" max="7" width="14.33203125" bestFit="1" customWidth="1"/>
    <col min="8" max="8" width="14.6640625" hidden="1" customWidth="1"/>
    <col min="9" max="9" width="10.33203125" hidden="1" customWidth="1"/>
    <col min="10" max="10" width="8.83203125" style="12" customWidth="1"/>
    <col min="11" max="11" width="9.6640625" bestFit="1" customWidth="1"/>
    <col min="13" max="13" width="10.33203125" bestFit="1" customWidth="1"/>
    <col min="14" max="14" width="15.6640625" customWidth="1"/>
  </cols>
  <sheetData>
    <row r="2" spans="2:14" ht="17" thickBot="1" x14ac:dyDescent="0.25">
      <c r="B2" s="25" t="s">
        <v>0</v>
      </c>
      <c r="C2" s="25" t="s">
        <v>30</v>
      </c>
      <c r="D2" s="25" t="s">
        <v>9</v>
      </c>
      <c r="E2" s="26" t="s">
        <v>14</v>
      </c>
      <c r="F2" s="25" t="s">
        <v>47</v>
      </c>
      <c r="G2" s="25" t="s">
        <v>11</v>
      </c>
      <c r="H2" s="25" t="s">
        <v>36</v>
      </c>
      <c r="I2" s="25" t="s">
        <v>37</v>
      </c>
      <c r="J2" s="27" t="s">
        <v>10</v>
      </c>
      <c r="N2" s="11">
        <f ca="1">TODAY()</f>
        <v>46111</v>
      </c>
    </row>
    <row r="3" spans="2:14" x14ac:dyDescent="0.2">
      <c r="B3" s="50" t="s">
        <v>49</v>
      </c>
      <c r="C3" s="50" t="s">
        <v>32</v>
      </c>
      <c r="D3" s="51">
        <v>33300</v>
      </c>
      <c r="E3" s="52">
        <v>95</v>
      </c>
      <c r="F3" s="50" t="s">
        <v>54</v>
      </c>
      <c r="G3" s="53">
        <v>45752</v>
      </c>
      <c r="H3" s="24">
        <f t="shared" ref="H3:H19" ca="1" si="0">DATEDIF(G3,$N$2,"m")</f>
        <v>11</v>
      </c>
      <c r="I3" s="24">
        <f ca="1">IF(Table1[[#This Row],[Age]]&gt;24,0,1)</f>
        <v>1</v>
      </c>
      <c r="J3" s="21">
        <f t="shared" ref="J3:J13" ca="1" si="1">DATEDIF(G3,$N$2,"m")</f>
        <v>11</v>
      </c>
      <c r="M3" t="s">
        <v>38</v>
      </c>
      <c r="N3" s="12">
        <f ca="1">SUM(Table1[Count])</f>
        <v>3</v>
      </c>
    </row>
    <row r="4" spans="2:14" x14ac:dyDescent="0.2">
      <c r="B4" s="1" t="s">
        <v>26</v>
      </c>
      <c r="C4" s="1" t="s">
        <v>32</v>
      </c>
      <c r="D4" s="5">
        <v>17700</v>
      </c>
      <c r="E4" s="3">
        <v>0</v>
      </c>
      <c r="F4" s="1"/>
      <c r="G4" s="10">
        <v>44743</v>
      </c>
      <c r="H4" s="24">
        <f t="shared" ca="1" si="0"/>
        <v>44</v>
      </c>
      <c r="I4" s="24">
        <f ca="1">IF(Table1[[#This Row],[Age]]&gt;24,0,1)</f>
        <v>0</v>
      </c>
      <c r="J4" s="21">
        <f t="shared" ca="1" si="1"/>
        <v>44</v>
      </c>
    </row>
    <row r="5" spans="2:14" x14ac:dyDescent="0.2">
      <c r="B5" s="1" t="s">
        <v>1</v>
      </c>
      <c r="C5" s="1" t="s">
        <v>33</v>
      </c>
      <c r="D5" s="5">
        <v>14800</v>
      </c>
      <c r="E5" s="3">
        <v>0</v>
      </c>
      <c r="F5" s="1"/>
      <c r="G5" s="10">
        <v>41225</v>
      </c>
      <c r="H5" s="24">
        <f t="shared" ca="1" si="0"/>
        <v>160</v>
      </c>
      <c r="I5" s="24">
        <f ca="1">IF(Table1[[#This Row],[Age]]&gt;24,0,1)</f>
        <v>0</v>
      </c>
      <c r="J5" s="21">
        <f t="shared" ca="1" si="1"/>
        <v>160</v>
      </c>
    </row>
    <row r="6" spans="2:14" x14ac:dyDescent="0.2">
      <c r="B6" s="1" t="s">
        <v>34</v>
      </c>
      <c r="C6" s="1" t="s">
        <v>29</v>
      </c>
      <c r="D6" s="5">
        <v>13000</v>
      </c>
      <c r="E6" s="3">
        <v>0</v>
      </c>
      <c r="F6" s="10"/>
      <c r="G6" s="10">
        <v>42187</v>
      </c>
      <c r="H6" s="24">
        <f t="shared" ca="1" si="0"/>
        <v>128</v>
      </c>
      <c r="I6" s="24">
        <f ca="1">IF(Table1[[#This Row],[Age]]&gt;24,0,1)</f>
        <v>0</v>
      </c>
      <c r="J6" s="21">
        <f t="shared" ca="1" si="1"/>
        <v>128</v>
      </c>
    </row>
    <row r="7" spans="2:14" x14ac:dyDescent="0.2">
      <c r="B7" s="1" t="s">
        <v>42</v>
      </c>
      <c r="C7" s="60" t="s">
        <v>43</v>
      </c>
      <c r="D7" s="6">
        <v>11600</v>
      </c>
      <c r="E7" s="8">
        <v>0</v>
      </c>
      <c r="F7" s="1"/>
      <c r="G7" s="10">
        <v>45552</v>
      </c>
      <c r="H7" s="49">
        <f t="shared" ca="1" si="0"/>
        <v>18</v>
      </c>
      <c r="I7" s="24">
        <f ca="1">IF(Table1[[#This Row],[Age]]&gt;24,0,1)</f>
        <v>1</v>
      </c>
      <c r="J7" s="21">
        <f t="shared" ca="1" si="1"/>
        <v>18</v>
      </c>
    </row>
    <row r="8" spans="2:14" x14ac:dyDescent="0.2">
      <c r="B8" s="1" t="s">
        <v>17</v>
      </c>
      <c r="C8" s="1" t="s">
        <v>32</v>
      </c>
      <c r="D8" s="6">
        <v>10500</v>
      </c>
      <c r="E8" s="8">
        <v>0</v>
      </c>
      <c r="F8" s="1"/>
      <c r="G8" s="10">
        <v>41308</v>
      </c>
      <c r="H8" s="24">
        <f t="shared" ca="1" si="0"/>
        <v>157</v>
      </c>
      <c r="I8" s="24">
        <f ca="1">IF(Table1[[#This Row],[Age]]&gt;24,0,1)</f>
        <v>0</v>
      </c>
      <c r="J8" s="21">
        <f t="shared" ca="1" si="1"/>
        <v>157</v>
      </c>
    </row>
    <row r="9" spans="2:14" x14ac:dyDescent="0.2">
      <c r="B9" s="1" t="s">
        <v>13</v>
      </c>
      <c r="C9" s="1" t="s">
        <v>32</v>
      </c>
      <c r="D9" s="5">
        <v>10500</v>
      </c>
      <c r="E9" s="3">
        <v>0</v>
      </c>
      <c r="F9" s="1"/>
      <c r="G9" s="10">
        <v>44053</v>
      </c>
      <c r="H9" s="24">
        <f t="shared" ca="1" si="0"/>
        <v>67</v>
      </c>
      <c r="I9" s="24">
        <f ca="1">IF(Table1[[#This Row],[Age]]&gt;24,0,1)</f>
        <v>0</v>
      </c>
      <c r="J9" s="21">
        <f t="shared" ca="1" si="1"/>
        <v>67</v>
      </c>
    </row>
    <row r="10" spans="2:14" x14ac:dyDescent="0.2">
      <c r="B10" s="1" t="s">
        <v>6</v>
      </c>
      <c r="C10" s="1" t="s">
        <v>31</v>
      </c>
      <c r="D10" s="5">
        <v>7500</v>
      </c>
      <c r="E10" s="3">
        <v>0</v>
      </c>
      <c r="F10" s="1"/>
      <c r="G10" s="10">
        <v>43692</v>
      </c>
      <c r="H10" s="24">
        <f t="shared" ca="1" si="0"/>
        <v>79</v>
      </c>
      <c r="I10" s="24">
        <f ca="1">IF(Table1[[#This Row],[Age]]&gt;24,0,1)</f>
        <v>0</v>
      </c>
      <c r="J10" s="21">
        <f t="shared" ca="1" si="1"/>
        <v>79</v>
      </c>
    </row>
    <row r="11" spans="2:14" x14ac:dyDescent="0.2">
      <c r="B11" s="1" t="s">
        <v>25</v>
      </c>
      <c r="C11" s="1" t="s">
        <v>29</v>
      </c>
      <c r="D11" s="5">
        <v>6800</v>
      </c>
      <c r="E11" s="3">
        <v>0</v>
      </c>
      <c r="F11" s="1"/>
      <c r="G11" s="10">
        <v>44735</v>
      </c>
      <c r="H11" s="24">
        <f t="shared" ca="1" si="0"/>
        <v>45</v>
      </c>
      <c r="I11" s="24">
        <f ca="1">IF(Table1[[#This Row],[Age]]&gt;24,0,1)</f>
        <v>0</v>
      </c>
      <c r="J11" s="21">
        <f t="shared" ca="1" si="1"/>
        <v>45</v>
      </c>
    </row>
    <row r="12" spans="2:14" x14ac:dyDescent="0.2">
      <c r="B12" s="1" t="s">
        <v>16</v>
      </c>
      <c r="C12" s="1" t="s">
        <v>32</v>
      </c>
      <c r="D12" s="6">
        <v>6000</v>
      </c>
      <c r="E12" s="8">
        <v>0</v>
      </c>
      <c r="F12" s="9"/>
      <c r="G12" s="10">
        <v>43707</v>
      </c>
      <c r="H12" s="24">
        <f t="shared" ca="1" si="0"/>
        <v>79</v>
      </c>
      <c r="I12" s="24">
        <f ca="1">IF(Table1[[#This Row],[Age]]&gt;24,0,1)</f>
        <v>0</v>
      </c>
      <c r="J12" s="21">
        <f t="shared" ca="1" si="1"/>
        <v>79</v>
      </c>
    </row>
    <row r="13" spans="2:14" x14ac:dyDescent="0.2">
      <c r="B13" s="1" t="s">
        <v>52</v>
      </c>
      <c r="C13" s="1" t="s">
        <v>29</v>
      </c>
      <c r="D13" s="5">
        <v>0</v>
      </c>
      <c r="E13" s="3">
        <v>895</v>
      </c>
      <c r="F13" s="1" t="s">
        <v>55</v>
      </c>
      <c r="G13" s="10">
        <v>45924</v>
      </c>
      <c r="H13" s="24">
        <f t="shared" ca="1" si="0"/>
        <v>6</v>
      </c>
      <c r="I13" s="24">
        <f ca="1">IF(Table1[[#This Row],[Age]]&gt;24,0,1)</f>
        <v>1</v>
      </c>
      <c r="J13" s="21">
        <f t="shared" ca="1" si="1"/>
        <v>6</v>
      </c>
    </row>
    <row r="14" spans="2:14" x14ac:dyDescent="0.2">
      <c r="B14" s="19" t="s">
        <v>12</v>
      </c>
      <c r="C14" s="19"/>
      <c r="D14" s="14">
        <v>0</v>
      </c>
      <c r="E14" s="15">
        <v>0</v>
      </c>
      <c r="F14" s="16" t="s">
        <v>57</v>
      </c>
      <c r="G14" s="17">
        <v>43472</v>
      </c>
      <c r="H14" s="49">
        <f t="shared" ca="1" si="0"/>
        <v>86</v>
      </c>
      <c r="I14" s="49">
        <f ca="1">IF(Table1[[#This Row],[Age]]&gt;24,0,1)</f>
        <v>0</v>
      </c>
      <c r="J14" s="20">
        <v>85</v>
      </c>
    </row>
    <row r="15" spans="2:14" x14ac:dyDescent="0.2">
      <c r="B15" s="19" t="s">
        <v>24</v>
      </c>
      <c r="C15" s="19"/>
      <c r="D15" s="14">
        <v>0</v>
      </c>
      <c r="E15" s="15">
        <v>0</v>
      </c>
      <c r="F15" s="19" t="s">
        <v>41</v>
      </c>
      <c r="G15" s="17">
        <v>41867</v>
      </c>
      <c r="H15" s="49">
        <f t="shared" ca="1" si="0"/>
        <v>139</v>
      </c>
      <c r="I15" s="49">
        <f ca="1">IF(Table1[[#This Row],[Age]]&gt;24,0,1)</f>
        <v>0</v>
      </c>
      <c r="J15" s="20">
        <v>121</v>
      </c>
      <c r="K15" s="4"/>
      <c r="L15" s="18"/>
    </row>
    <row r="16" spans="2:14" x14ac:dyDescent="0.2">
      <c r="B16" s="19" t="s">
        <v>46</v>
      </c>
      <c r="C16" s="19"/>
      <c r="D16" s="14">
        <v>0</v>
      </c>
      <c r="E16" s="15">
        <v>0</v>
      </c>
      <c r="F16" s="16" t="s">
        <v>50</v>
      </c>
      <c r="G16" s="17">
        <v>43415</v>
      </c>
      <c r="H16" s="49">
        <f t="shared" ca="1" si="0"/>
        <v>88</v>
      </c>
      <c r="I16" s="49">
        <f ca="1">IF(Table1[[#This Row],[Age]]&gt;24,0,1)</f>
        <v>0</v>
      </c>
      <c r="J16" s="20">
        <v>77</v>
      </c>
    </row>
    <row r="17" spans="2:10" x14ac:dyDescent="0.2">
      <c r="B17" s="19" t="s">
        <v>4</v>
      </c>
      <c r="C17" s="19"/>
      <c r="D17" s="14">
        <v>0</v>
      </c>
      <c r="E17" s="15">
        <v>0</v>
      </c>
      <c r="F17" s="19" t="s">
        <v>27</v>
      </c>
      <c r="G17" s="17">
        <v>42799</v>
      </c>
      <c r="H17" s="49">
        <f t="shared" ca="1" si="0"/>
        <v>108</v>
      </c>
      <c r="I17" s="49">
        <f ca="1">IF(Table1[[#This Row],[Age]]&gt;24,0,1)</f>
        <v>0</v>
      </c>
      <c r="J17" s="20">
        <v>64</v>
      </c>
    </row>
    <row r="18" spans="2:10" x14ac:dyDescent="0.2">
      <c r="B18" s="19" t="s">
        <v>19</v>
      </c>
      <c r="C18" s="19"/>
      <c r="D18" s="14">
        <v>0</v>
      </c>
      <c r="E18" s="15">
        <v>0</v>
      </c>
      <c r="F18" s="16" t="s">
        <v>23</v>
      </c>
      <c r="G18" s="17">
        <v>44160</v>
      </c>
      <c r="H18" s="49">
        <f t="shared" ca="1" si="0"/>
        <v>64</v>
      </c>
      <c r="I18" s="49">
        <f ca="1">IF(Table1[[#This Row],[Age]]&gt;24,0,1)</f>
        <v>0</v>
      </c>
      <c r="J18" s="20">
        <v>13</v>
      </c>
    </row>
    <row r="19" spans="2:10" x14ac:dyDescent="0.2">
      <c r="B19" s="19" t="s">
        <v>8</v>
      </c>
      <c r="C19" s="19"/>
      <c r="D19" s="14">
        <v>0</v>
      </c>
      <c r="E19" s="15">
        <v>0</v>
      </c>
      <c r="F19" s="16" t="s">
        <v>18</v>
      </c>
      <c r="G19" s="17">
        <v>43763</v>
      </c>
      <c r="H19" s="49">
        <f t="shared" ca="1" si="0"/>
        <v>77</v>
      </c>
      <c r="I19" s="49">
        <f ca="1">IF(Table1[[#This Row],[Age]]&gt;24,0,1)</f>
        <v>0</v>
      </c>
      <c r="J19" s="20">
        <v>13</v>
      </c>
    </row>
    <row r="20" spans="2:10" x14ac:dyDescent="0.2">
      <c r="B20" s="1"/>
      <c r="C20" s="1"/>
      <c r="D20" s="22">
        <f>SUBTOTAL(109,Table1[Limit])</f>
        <v>131700</v>
      </c>
      <c r="E20" s="23">
        <f>SUBTOTAL(109,Table1[Annual Fee])</f>
        <v>990</v>
      </c>
      <c r="G20" s="10"/>
      <c r="H20" s="10"/>
      <c r="I20" s="10"/>
      <c r="J20" s="24">
        <f ca="1">SUBTOTAL(101,Table1[AOA])</f>
        <v>68.647058823529406</v>
      </c>
    </row>
  </sheetData>
  <conditionalFormatting sqref="H3:I19">
    <cfRule type="cellIs" dxfId="0" priority="1" operator="lessThan">
      <formula>24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FA10CE33617A4DACA7FFF08FDE1D35" ma:contentTypeVersion="8" ma:contentTypeDescription="Create a new document." ma:contentTypeScope="" ma:versionID="319f96948ad26970de319cc9c4e28357">
  <xsd:schema xmlns:xsd="http://www.w3.org/2001/XMLSchema" xmlns:xs="http://www.w3.org/2001/XMLSchema" xmlns:p="http://schemas.microsoft.com/office/2006/metadata/properties" xmlns:ns3="0240e475-46d0-42fd-a5e4-b177a5846abf" targetNamespace="http://schemas.microsoft.com/office/2006/metadata/properties" ma:root="true" ma:fieldsID="82380613063a48a0c3788e9c58dfd2bb" ns3:_="">
    <xsd:import namespace="0240e475-46d0-42fd-a5e4-b177a5846a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0e475-46d0-42fd-a5e4-b177a5846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7971AA-4BCB-45A8-AABE-614C7FCD11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943D85-11DF-48F5-969B-028EE8381F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240e475-46d0-42fd-a5e4-b177a5846ab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F0A063-BD74-45C2-8BFA-E24C730590B8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0240e475-46d0-42fd-a5e4-b177a5846ab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Loans</vt:lpstr>
      <vt:lpstr>Credit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Salvaneschi, Joe</cp:lastModifiedBy>
  <dcterms:created xsi:type="dcterms:W3CDTF">2017-01-16T23:06:52Z</dcterms:created>
  <dcterms:modified xsi:type="dcterms:W3CDTF">2026-03-30T12:17:05Z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0x010100F8FA10CE33617A4DACA7FFF08FDE1D35</vt:lpwstr>
  </property>
  <property fmtid="{D5CDD505-2E9C-101B-9397-08002B2CF9AE}" pid="3" name="MSIP_Label_0004f76d-62eb-49d8-96e4-1d45e54758be_Enabled">
    <vt:lpwstr>true</vt:lpwstr>
  </property>
  <property fmtid="{D5CDD505-2E9C-101B-9397-08002B2CF9AE}" pid="4" name="MSIP_Label_0004f76d-62eb-49d8-96e4-1d45e54758be_SetDate">
    <vt:lpwstr>2022-10-19T00:31:34Z</vt:lpwstr>
  </property>
  <property fmtid="{D5CDD505-2E9C-101B-9397-08002B2CF9AE}" pid="5" name="MSIP_Label_0004f76d-62eb-49d8-96e4-1d45e54758be_Method">
    <vt:lpwstr>Privileged</vt:lpwstr>
  </property>
  <property fmtid="{D5CDD505-2E9C-101B-9397-08002B2CF9AE}" pid="6" name="MSIP_Label_0004f76d-62eb-49d8-96e4-1d45e54758be_Name">
    <vt:lpwstr>Standard - Anyone (unrestricted)</vt:lpwstr>
  </property>
  <property fmtid="{D5CDD505-2E9C-101B-9397-08002B2CF9AE}" pid="7" name="MSIP_Label_0004f76d-62eb-49d8-96e4-1d45e54758be_SiteId">
    <vt:lpwstr>2826cf6d-b67d-4b4f-8a5f-a9443cc5eca1</vt:lpwstr>
  </property>
  <property fmtid="{D5CDD505-2E9C-101B-9397-08002B2CF9AE}" pid="8" name="MSIP_Label_0004f76d-62eb-49d8-96e4-1d45e54758be_ActionId">
    <vt:lpwstr>857e6440-b662-4ed6-9f30-257fa3ffa5e1</vt:lpwstr>
  </property>
  <property fmtid="{D5CDD505-2E9C-101B-9397-08002B2CF9AE}" pid="9" name="MSIP_Label_0004f76d-62eb-49d8-96e4-1d45e54758be_ContentBits">
    <vt:lpwstr>0</vt:lpwstr>
  </property>
</Properties>
</file>